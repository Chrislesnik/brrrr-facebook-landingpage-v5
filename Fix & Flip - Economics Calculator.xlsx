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air1/Orbit Capital Dropbox/Orbit Capital Dropbox/ALPHACAPITALADVISERS/Joel's Clients/ROC Capital/"/>
    </mc:Choice>
  </mc:AlternateContent>
  <xr:revisionPtr revIDLastSave="0" documentId="13_ncr:1_{217DE79D-1BD1-9748-8AE3-44E8B2A90514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Economics" sheetId="1" r:id="rId1"/>
    <sheet name="Estim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8" i="1" l="1"/>
  <c r="B22" i="1"/>
  <c r="B7" i="1"/>
  <c r="B3" i="1"/>
  <c r="B6" i="1"/>
  <c r="B5" i="1"/>
  <c r="B2" i="1"/>
  <c r="B39" i="1" s="1"/>
  <c r="D18" i="1"/>
  <c r="B19" i="1" l="1"/>
  <c r="E7" i="1"/>
  <c r="B17" i="1"/>
  <c r="B23" i="1" s="1"/>
  <c r="E8" i="1"/>
  <c r="B27" i="1"/>
  <c r="D17" i="1"/>
  <c r="B34" i="1"/>
  <c r="B29" i="1"/>
  <c r="E10" i="1" s="1"/>
  <c r="B32" i="1"/>
  <c r="E5" i="1"/>
  <c r="B33" i="1"/>
  <c r="B4" i="1" l="1"/>
  <c r="B24" i="1"/>
  <c r="B28" i="1"/>
  <c r="B30" i="1" s="1"/>
  <c r="B25" i="1"/>
  <c r="E11" i="1"/>
  <c r="E16" i="1"/>
  <c r="B37" i="1"/>
  <c r="E17" i="1" l="1"/>
  <c r="E9" i="1"/>
  <c r="E12" i="1" s="1"/>
  <c r="B40" i="1"/>
  <c r="B41" i="1" s="1"/>
  <c r="E15" i="1"/>
  <c r="E18" i="1" s="1"/>
</calcChain>
</file>

<file path=xl/sharedStrings.xml><?xml version="1.0" encoding="utf-8"?>
<sst xmlns="http://schemas.openxmlformats.org/spreadsheetml/2006/main" count="47" uniqueCount="37">
  <si>
    <t>Purchase Price</t>
  </si>
  <si>
    <t>Value</t>
  </si>
  <si>
    <t>Loan Amount</t>
  </si>
  <si>
    <t>SNAPSHOT</t>
  </si>
  <si>
    <t>ARLTV</t>
  </si>
  <si>
    <t>Renovation Budget</t>
  </si>
  <si>
    <t>Sales Price</t>
  </si>
  <si>
    <t>Time to flip (months)</t>
  </si>
  <si>
    <t>Interest</t>
  </si>
  <si>
    <t>Points</t>
  </si>
  <si>
    <t>Renovation</t>
  </si>
  <si>
    <t>Mortgage Tax</t>
  </si>
  <si>
    <t>Interest &amp; Origination Points</t>
  </si>
  <si>
    <t>Transfer Tax</t>
  </si>
  <si>
    <t>Property Tax &amp; Maintenance</t>
  </si>
  <si>
    <t>Mansion Tax</t>
  </si>
  <si>
    <t>Taxes and Other Costs</t>
  </si>
  <si>
    <t>Title Insurance</t>
  </si>
  <si>
    <t>Broker Fee</t>
  </si>
  <si>
    <t>Property Tax and Maintenance</t>
  </si>
  <si>
    <t>Acquisition Costs</t>
  </si>
  <si>
    <t>Legal Fees</t>
  </si>
  <si>
    <t>Mortgage Recording Tax</t>
  </si>
  <si>
    <t>Filing Fees</t>
  </si>
  <si>
    <t>Appraisal</t>
  </si>
  <si>
    <t>PL Legal Fee</t>
  </si>
  <si>
    <t>Origination Points</t>
  </si>
  <si>
    <t>Interim Expenses</t>
  </si>
  <si>
    <t>Legal</t>
  </si>
  <si>
    <t>Sale Price</t>
  </si>
  <si>
    <t>Costs</t>
  </si>
  <si>
    <t>Borrower Profit/Loss</t>
  </si>
  <si>
    <t>Borrower Cash in Deal At Purchase</t>
  </si>
  <si>
    <t>Sale Costs (Paid from Proceeds of Sale)</t>
  </si>
  <si>
    <t>Total Profit on Flip</t>
  </si>
  <si>
    <t>Flip Economics</t>
  </si>
  <si>
    <t>PP + sunk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</si>
</sst>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3" fontId="0" fillId="2" borderId="0" xfId="0" applyNumberFormat="1" applyFill="1"/>
    <xf numFmtId="10" fontId="0" fillId="0" borderId="0" xfId="0" applyNumberFormat="1"/>
    <xf numFmtId="164" fontId="0" fillId="0" borderId="1" xfId="0" applyNumberFormat="1" applyBorder="1"/>
    <xf numFmtId="3" fontId="0" fillId="0" borderId="2" xfId="0" applyNumberFormat="1" applyBorder="1"/>
    <xf numFmtId="1" fontId="0" fillId="2" borderId="0" xfId="0" applyNumberFormat="1" applyFill="1"/>
    <xf numFmtId="3" fontId="0" fillId="0" borderId="0" xfId="0" applyNumberFormat="1"/>
    <xf numFmtId="10" fontId="0" fillId="2" borderId="0" xfId="0" applyNumberFormat="1" applyFill="1"/>
    <xf numFmtId="164" fontId="0" fillId="0" borderId="3" xfId="0" applyNumberFormat="1" applyBorder="1"/>
    <xf numFmtId="3" fontId="0" fillId="0" borderId="3" xfId="0" applyNumberFormat="1" applyBorder="1"/>
    <xf numFmtId="9" fontId="0" fillId="2" borderId="0" xfId="0" applyNumberFormat="1" applyFill="1"/>
    <xf numFmtId="164" fontId="1" fillId="0" borderId="4" xfId="0" applyNumberFormat="1" applyFont="1" applyBorder="1"/>
    <xf numFmtId="164" fontId="0" fillId="0" borderId="4" xfId="0" applyNumberFormat="1" applyBorder="1"/>
    <xf numFmtId="9" fontId="0" fillId="0" borderId="0" xfId="0" applyNumberFormat="1"/>
    <xf numFmtId="3" fontId="0" fillId="0" borderId="4" xfId="0" applyNumberFormat="1" applyBorder="1"/>
    <xf numFmtId="164" fontId="0" fillId="0" borderId="5" xfId="0" applyNumberFormat="1" applyBorder="1"/>
    <xf numFmtId="38" fontId="0" fillId="0" borderId="6" xfId="0" applyNumberFormat="1" applyBorder="1"/>
    <xf numFmtId="164" fontId="1" fillId="0" borderId="3" xfId="0" applyNumberFormat="1" applyFont="1" applyBorder="1"/>
    <xf numFmtId="0" fontId="0" fillId="0" borderId="3" xfId="0" applyBorder="1"/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zoomScaleNormal="100" workbookViewId="0">
      <selection activeCell="B19" sqref="B19"/>
    </sheetView>
  </sheetViews>
  <sheetFormatPr baseColWidth="10" defaultColWidth="8.83203125" defaultRowHeight="15" x14ac:dyDescent="0.2"/>
  <cols>
    <col min="1" max="1" width="28.5" bestFit="1" customWidth="1"/>
    <col min="2" max="2" width="11.1640625" customWidth="1"/>
    <col min="4" max="4" width="41.83203125" bestFit="1" customWidth="1"/>
    <col min="5" max="5" width="10.6640625" customWidth="1"/>
  </cols>
  <sheetData>
    <row r="1" spans="1:5" x14ac:dyDescent="0.2">
      <c r="A1" s="1" t="s">
        <v>0</v>
      </c>
      <c r="B1" s="2">
        <v>145000</v>
      </c>
      <c r="C1" s="1" t="s">
        <v>36</v>
      </c>
      <c r="D1" s="1"/>
      <c r="E1" s="1"/>
    </row>
    <row r="2" spans="1:5" x14ac:dyDescent="0.2">
      <c r="A2" s="1" t="s">
        <v>1</v>
      </c>
      <c r="B2" s="2">
        <f>240000</f>
        <v>240000</v>
      </c>
      <c r="C2" s="1"/>
      <c r="D2" s="1"/>
      <c r="E2" s="1"/>
    </row>
    <row r="3" spans="1:5" x14ac:dyDescent="0.2">
      <c r="A3" s="1" t="s">
        <v>2</v>
      </c>
      <c r="B3" s="2">
        <f>(B1*0.9)+B5</f>
        <v>175500</v>
      </c>
      <c r="C3" s="1"/>
      <c r="D3" s="20" t="s">
        <v>3</v>
      </c>
      <c r="E3" s="20"/>
    </row>
    <row r="4" spans="1:5" x14ac:dyDescent="0.2">
      <c r="A4" s="1" t="s">
        <v>4</v>
      </c>
      <c r="B4" s="3">
        <f>B3/B2</f>
        <v>0.73124999999999996</v>
      </c>
      <c r="C4" s="1"/>
      <c r="D4" s="1"/>
      <c r="E4" s="1"/>
    </row>
    <row r="5" spans="1:5" x14ac:dyDescent="0.2">
      <c r="A5" s="1" t="s">
        <v>5</v>
      </c>
      <c r="B5" s="2">
        <f>45000</f>
        <v>45000</v>
      </c>
      <c r="C5" s="1"/>
      <c r="D5" s="4" t="s">
        <v>6</v>
      </c>
      <c r="E5" s="5">
        <f>B2</f>
        <v>240000</v>
      </c>
    </row>
    <row r="6" spans="1:5" x14ac:dyDescent="0.2">
      <c r="A6" s="1" t="s">
        <v>7</v>
      </c>
      <c r="B6" s="6">
        <f>5</f>
        <v>5</v>
      </c>
      <c r="C6" s="1"/>
      <c r="D6" s="1"/>
      <c r="E6" s="7"/>
    </row>
    <row r="7" spans="1:5" x14ac:dyDescent="0.2">
      <c r="A7" s="1" t="s">
        <v>8</v>
      </c>
      <c r="B7" s="8">
        <f>9.99%</f>
        <v>9.9900000000000003E-2</v>
      </c>
      <c r="C7" s="1"/>
      <c r="D7" s="1" t="s">
        <v>0</v>
      </c>
      <c r="E7" s="7">
        <f>B1</f>
        <v>145000</v>
      </c>
    </row>
    <row r="8" spans="1:5" x14ac:dyDescent="0.2">
      <c r="A8" s="1" t="s">
        <v>9</v>
      </c>
      <c r="B8" s="8">
        <v>0</v>
      </c>
      <c r="C8" s="1"/>
      <c r="D8" s="1" t="s">
        <v>10</v>
      </c>
      <c r="E8" s="7">
        <f>B5</f>
        <v>45000</v>
      </c>
    </row>
    <row r="9" spans="1:5" x14ac:dyDescent="0.2">
      <c r="A9" s="1" t="s">
        <v>11</v>
      </c>
      <c r="B9" s="8">
        <v>0</v>
      </c>
      <c r="C9" s="1"/>
      <c r="D9" s="1" t="s">
        <v>12</v>
      </c>
      <c r="E9" s="7">
        <f>B28+B24</f>
        <v>7305.1875000000009</v>
      </c>
    </row>
    <row r="10" spans="1:5" x14ac:dyDescent="0.2">
      <c r="A10" s="1" t="s">
        <v>13</v>
      </c>
      <c r="B10" s="8">
        <v>0.01</v>
      </c>
      <c r="C10" s="1"/>
      <c r="D10" s="1" t="s">
        <v>14</v>
      </c>
      <c r="E10" s="7">
        <f>B29</f>
        <v>1000</v>
      </c>
    </row>
    <row r="11" spans="1:5" x14ac:dyDescent="0.2">
      <c r="A11" s="1" t="s">
        <v>15</v>
      </c>
      <c r="B11" s="8">
        <v>0</v>
      </c>
      <c r="C11" s="1"/>
      <c r="D11" s="9" t="s">
        <v>16</v>
      </c>
      <c r="E11" s="10">
        <f>SUM(B18:B23,B32:B36)</f>
        <v>17840</v>
      </c>
    </row>
    <row r="12" spans="1:5" x14ac:dyDescent="0.2">
      <c r="A12" s="1" t="s">
        <v>17</v>
      </c>
      <c r="B12" s="8">
        <v>0.01</v>
      </c>
      <c r="C12" s="1"/>
      <c r="D12" s="1"/>
      <c r="E12" s="7">
        <f>SUM(E7:E11)</f>
        <v>216145.1875</v>
      </c>
    </row>
    <row r="13" spans="1:5" x14ac:dyDescent="0.2">
      <c r="A13" s="1" t="s">
        <v>18</v>
      </c>
      <c r="B13" s="8">
        <v>0.04</v>
      </c>
      <c r="C13" s="1"/>
      <c r="D13" s="1"/>
      <c r="E13" s="7"/>
    </row>
    <row r="14" spans="1:5" x14ac:dyDescent="0.2">
      <c r="A14" s="1" t="s">
        <v>19</v>
      </c>
      <c r="B14" s="11">
        <v>0.01</v>
      </c>
      <c r="C14" s="1"/>
      <c r="D14" s="18" t="s">
        <v>35</v>
      </c>
      <c r="E14" s="19"/>
    </row>
    <row r="15" spans="1:5" x14ac:dyDescent="0.2">
      <c r="A15" s="1"/>
      <c r="B15" s="1"/>
      <c r="C15" s="1"/>
      <c r="D15" s="1" t="s">
        <v>34</v>
      </c>
      <c r="E15" s="7">
        <f>E5-SUM(E7:E11)</f>
        <v>23854.8125</v>
      </c>
    </row>
    <row r="16" spans="1:5" ht="16" thickBot="1" x14ac:dyDescent="0.25">
      <c r="A16" s="12" t="s">
        <v>20</v>
      </c>
      <c r="B16" s="13"/>
      <c r="C16" s="1"/>
      <c r="D16" s="1" t="s">
        <v>32</v>
      </c>
      <c r="E16" s="7">
        <f>B1+B5+SUM(B18:B24)-B3</f>
        <v>18590</v>
      </c>
    </row>
    <row r="17" spans="1:5" ht="16" thickTop="1" x14ac:dyDescent="0.2">
      <c r="A17" s="1" t="s">
        <v>0</v>
      </c>
      <c r="B17" s="7">
        <f>B1</f>
        <v>145000</v>
      </c>
      <c r="C17" s="1"/>
      <c r="D17" s="1" t="str">
        <f>"Borrower Cash in Deal ("&amp;B6&amp;" months)"</f>
        <v>Borrower Cash in Deal (5 months)</v>
      </c>
      <c r="E17" s="7">
        <f>E16+SUM(B28:B29)</f>
        <v>26895.1875</v>
      </c>
    </row>
    <row r="18" spans="1:5" x14ac:dyDescent="0.2">
      <c r="A18" s="1" t="s">
        <v>21</v>
      </c>
      <c r="B18" s="7">
        <f>995</f>
        <v>995</v>
      </c>
      <c r="C18" s="1"/>
      <c r="D18" s="1" t="str">
        <f>"Borrower ROI on Cash in Deal (" &amp; B6 &amp; " months)"</f>
        <v>Borrower ROI on Cash in Deal (5 months)</v>
      </c>
      <c r="E18" s="14">
        <f>E15/E17</f>
        <v>0.88695468287774537</v>
      </c>
    </row>
    <row r="19" spans="1:5" x14ac:dyDescent="0.2">
      <c r="A19" s="1" t="s">
        <v>22</v>
      </c>
      <c r="B19" s="7">
        <f>B9*B3</f>
        <v>0</v>
      </c>
      <c r="C19" s="1"/>
    </row>
    <row r="20" spans="1:5" x14ac:dyDescent="0.2">
      <c r="A20" s="1" t="s">
        <v>23</v>
      </c>
      <c r="B20" s="7">
        <v>250</v>
      </c>
      <c r="C20" s="1"/>
      <c r="D20" s="1"/>
      <c r="E20" s="1"/>
    </row>
    <row r="21" spans="1:5" x14ac:dyDescent="0.2">
      <c r="A21" s="1" t="s">
        <v>24</v>
      </c>
      <c r="B21" s="7">
        <v>400</v>
      </c>
      <c r="C21" s="1"/>
      <c r="D21" s="1"/>
      <c r="E21" s="1"/>
    </row>
    <row r="22" spans="1:5" x14ac:dyDescent="0.2">
      <c r="A22" s="1" t="s">
        <v>25</v>
      </c>
      <c r="B22" s="7">
        <f>995</f>
        <v>995</v>
      </c>
      <c r="C22" s="1"/>
      <c r="D22" s="1"/>
      <c r="E22" s="1"/>
    </row>
    <row r="23" spans="1:5" x14ac:dyDescent="0.2">
      <c r="A23" s="1" t="s">
        <v>17</v>
      </c>
      <c r="B23" s="7">
        <f>B12*B17</f>
        <v>1450</v>
      </c>
      <c r="C23" s="1"/>
      <c r="D23" s="1"/>
      <c r="E23" s="1"/>
    </row>
    <row r="24" spans="1:5" x14ac:dyDescent="0.2">
      <c r="A24" s="9" t="s">
        <v>26</v>
      </c>
      <c r="B24" s="10">
        <f>B3*B8</f>
        <v>0</v>
      </c>
      <c r="C24" s="1"/>
      <c r="D24" s="1"/>
      <c r="E24" s="1"/>
    </row>
    <row r="25" spans="1:5" x14ac:dyDescent="0.2">
      <c r="A25" s="1"/>
      <c r="B25" s="7">
        <f>SUM(B17:B24)</f>
        <v>149090</v>
      </c>
      <c r="C25" s="1"/>
      <c r="D25" s="1"/>
      <c r="E25" s="1"/>
    </row>
    <row r="26" spans="1:5" ht="16" thickBot="1" x14ac:dyDescent="0.25">
      <c r="A26" s="12" t="s">
        <v>27</v>
      </c>
      <c r="B26" s="15"/>
      <c r="C26" s="1"/>
      <c r="D26" s="1"/>
      <c r="E26" s="1"/>
    </row>
    <row r="27" spans="1:5" ht="16" thickTop="1" x14ac:dyDescent="0.2">
      <c r="A27" s="1" t="s">
        <v>10</v>
      </c>
      <c r="B27" s="7">
        <f>B5</f>
        <v>45000</v>
      </c>
      <c r="C27" s="1"/>
      <c r="D27" s="1"/>
      <c r="E27" s="1"/>
    </row>
    <row r="28" spans="1:5" x14ac:dyDescent="0.2">
      <c r="A28" s="1" t="s">
        <v>8</v>
      </c>
      <c r="B28" s="7">
        <f>B6*((B3*B7)/12)</f>
        <v>7305.1875000000009</v>
      </c>
      <c r="C28" s="1"/>
      <c r="D28" s="1"/>
      <c r="E28" s="1"/>
    </row>
    <row r="29" spans="1:5" x14ac:dyDescent="0.2">
      <c r="A29" s="9" t="s">
        <v>14</v>
      </c>
      <c r="B29" s="10">
        <f>B6*((B14*B2)/12)</f>
        <v>1000</v>
      </c>
      <c r="C29" s="1"/>
      <c r="D29" s="1"/>
      <c r="E29" s="1"/>
    </row>
    <row r="30" spans="1:5" x14ac:dyDescent="0.2">
      <c r="A30" s="1"/>
      <c r="B30" s="7">
        <f>SUM(B27:B29)</f>
        <v>53305.1875</v>
      </c>
      <c r="C30" s="1"/>
      <c r="D30" s="1"/>
      <c r="E30" s="1"/>
    </row>
    <row r="31" spans="1:5" ht="16" thickBot="1" x14ac:dyDescent="0.25">
      <c r="A31" s="12" t="s">
        <v>33</v>
      </c>
      <c r="B31" s="15"/>
      <c r="C31" s="1"/>
      <c r="D31" s="1"/>
      <c r="E31" s="1"/>
    </row>
    <row r="32" spans="1:5" ht="16" thickTop="1" x14ac:dyDescent="0.2">
      <c r="A32" s="1" t="s">
        <v>18</v>
      </c>
      <c r="B32" s="7">
        <f>B2*B13</f>
        <v>9600</v>
      </c>
      <c r="C32" s="1"/>
    </row>
    <row r="33" spans="1:3" x14ac:dyDescent="0.2">
      <c r="A33" s="1" t="s">
        <v>13</v>
      </c>
      <c r="B33" s="7">
        <f>B2*B10</f>
        <v>2400</v>
      </c>
      <c r="C33" s="1"/>
    </row>
    <row r="34" spans="1:3" x14ac:dyDescent="0.2">
      <c r="A34" s="1" t="s">
        <v>15</v>
      </c>
      <c r="B34" s="7">
        <f>B2*B11</f>
        <v>0</v>
      </c>
      <c r="C34" s="1"/>
    </row>
    <row r="35" spans="1:3" x14ac:dyDescent="0.2">
      <c r="A35" s="1" t="s">
        <v>28</v>
      </c>
      <c r="B35" s="7">
        <v>1500</v>
      </c>
      <c r="C35" s="1"/>
    </row>
    <row r="36" spans="1:3" x14ac:dyDescent="0.2">
      <c r="A36" s="9" t="s">
        <v>23</v>
      </c>
      <c r="B36" s="10">
        <v>250</v>
      </c>
      <c r="C36" s="1"/>
    </row>
    <row r="37" spans="1:3" x14ac:dyDescent="0.2">
      <c r="A37" s="1"/>
      <c r="B37" s="7">
        <f>SUM(B32:B36)</f>
        <v>13750</v>
      </c>
      <c r="C37" s="1"/>
    </row>
    <row r="38" spans="1:3" x14ac:dyDescent="0.2">
      <c r="A38" s="1"/>
      <c r="B38" s="7"/>
      <c r="C38" s="1"/>
    </row>
    <row r="39" spans="1:3" x14ac:dyDescent="0.2">
      <c r="A39" s="1" t="s">
        <v>29</v>
      </c>
      <c r="B39" s="7">
        <f>B2</f>
        <v>240000</v>
      </c>
      <c r="C39" s="1"/>
    </row>
    <row r="40" spans="1:3" ht="16" thickBot="1" x14ac:dyDescent="0.25">
      <c r="A40" s="1" t="s">
        <v>30</v>
      </c>
      <c r="B40" s="7">
        <f>B25+B30+B37</f>
        <v>216145.1875</v>
      </c>
      <c r="C40" s="1"/>
    </row>
    <row r="41" spans="1:3" ht="17" thickTop="1" thickBot="1" x14ac:dyDescent="0.25">
      <c r="A41" s="16" t="s">
        <v>31</v>
      </c>
      <c r="B41" s="17">
        <f>B39-B40</f>
        <v>23854.8125</v>
      </c>
      <c r="C41" s="1"/>
    </row>
    <row r="42" spans="1:3" ht="16" thickTop="1" x14ac:dyDescent="0.2"/>
  </sheetData>
  <mergeCells count="1">
    <mergeCell ref="D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40" sqref="C40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Economics</vt:lpstr>
      <vt:lpstr>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Abramovich</dc:creator>
  <cp:lastModifiedBy>Joel Kraut</cp:lastModifiedBy>
  <dcterms:created xsi:type="dcterms:W3CDTF">2015-02-06T22:01:13Z</dcterms:created>
  <dcterms:modified xsi:type="dcterms:W3CDTF">2025-11-12T17:31:14Z</dcterms:modified>
</cp:coreProperties>
</file>